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Work\sakhalin_1890\outputs\english_dataset_column_review_20260802\"/>
    </mc:Choice>
  </mc:AlternateContent>
  <xr:revisionPtr revIDLastSave="0" documentId="13_ncr:1_{355DCA5E-8563-48BC-986F-1E51AA5AE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Summary" sheetId="2" r:id="rId2"/>
    <sheet name="Column Review" sheetId="3" r:id="rId3"/>
  </sheets>
  <calcPr calcId="191029"/>
</workbook>
</file>

<file path=xl/calcChain.xml><?xml version="1.0" encoding="utf-8"?>
<calcChain xmlns="http://schemas.openxmlformats.org/spreadsheetml/2006/main">
  <c r="E8" i="2" l="1"/>
  <c r="E7" i="2"/>
  <c r="B7" i="2"/>
  <c r="E6" i="2"/>
  <c r="B6" i="2"/>
  <c r="E5" i="2"/>
  <c r="B5" i="2"/>
  <c r="E4" i="2"/>
  <c r="E9" i="2" s="1"/>
</calcChain>
</file>

<file path=xl/sharedStrings.xml><?xml version="1.0" encoding="utf-8"?>
<sst xmlns="http://schemas.openxmlformats.org/spreadsheetml/2006/main" count="454" uniqueCount="221">
  <si>
    <t>Compact English Dataset — Column Selection Review</t>
  </si>
  <si>
    <t>Purpose</t>
  </si>
  <si>
    <t>Approve the exact compact schema before translation or English dataset generation begins.</t>
  </si>
  <si>
    <t>Canonical source</t>
  </si>
  <si>
    <t>data/processed/clean_sakhalin_1890_ru_v5_20260731.csv</t>
  </si>
  <si>
    <t>Records</t>
  </si>
  <si>
    <t>7,446</t>
  </si>
  <si>
    <t>Canonical fields</t>
  </si>
  <si>
    <t>50</t>
  </si>
  <si>
    <t>Editable columns</t>
  </si>
  <si>
    <t>Owner decision, Owner English name, and Owner notes on the Column Review sheet.</t>
  </si>
  <si>
    <t>Decision options</t>
  </si>
  <si>
    <t>Include; Exclude; Canonical only; Modify; Pending.</t>
  </si>
  <si>
    <t>Include</t>
  </si>
  <si>
    <t>Retain in the compact English analytical dataset.</t>
  </si>
  <si>
    <t>Exclude</t>
  </si>
  <si>
    <t>Remove because the field is redundant, blank, or technical.</t>
  </si>
  <si>
    <t>Canonical only</t>
  </si>
  <si>
    <t>Keep in authoritative canonical v5 for audit or detail, but omit from the compact dataset.</t>
  </si>
  <si>
    <t>Modify</t>
  </si>
  <si>
    <t>Change the proposed treatment, output design, or English field name; explain in Owner notes.</t>
  </si>
  <si>
    <t>Important</t>
  </si>
  <si>
    <t>Recommendations are proposals. No English dataset will be generated until all 50 owner decisions are complete.</t>
  </si>
  <si>
    <t>Column Review Summary</t>
  </si>
  <si>
    <t>Metric</t>
  </si>
  <si>
    <t>Count</t>
  </si>
  <si>
    <t>Owner decision</t>
  </si>
  <si>
    <t>Pending</t>
  </si>
  <si>
    <t>Recommended Include</t>
  </si>
  <si>
    <t>Recommended Canonical only</t>
  </si>
  <si>
    <t>Recommended Exclude</t>
  </si>
  <si>
    <t>Completed decisions</t>
  </si>
  <si>
    <t>Approval gate: all 50 Owner decision cells must be completed before the English analytical dataset, MySQL schema, or Tableau extract is generated.</t>
  </si>
  <si>
    <t>Canonical v5 Field-by-Field Compact Schema Review</t>
  </si>
  <si>
    <t>Enter decisions only in the pale-yellow Owner columns L:N. Statistics are calculated from all 7,446 canonical v5 records.</t>
  </si>
  <si>
    <t>Order</t>
  </si>
  <si>
    <t>Canonical field</t>
  </si>
  <si>
    <t>Role</t>
  </si>
  <si>
    <t>Canonical type</t>
  </si>
  <si>
    <t>Populated</t>
  </si>
  <si>
    <t>Blank</t>
  </si>
  <si>
    <t>Distinct populated</t>
  </si>
  <si>
    <t>Common examples (count)</t>
  </si>
  <si>
    <t>Recommendation</t>
  </si>
  <si>
    <t>Proposed English field</t>
  </si>
  <si>
    <t>Rationale</t>
  </si>
  <si>
    <t>Owner English name</t>
  </si>
  <si>
    <t>Owner notes</t>
  </si>
  <si>
    <t>person_id</t>
  </si>
  <si>
    <t>Identifier</t>
  </si>
  <si>
    <t>Text</t>
  </si>
  <si>
    <t>P000001 (1); P000002 (1); P000003 (1)</t>
  </si>
  <si>
    <t>Primary record key required for MySQL joins and Tableau record-level traceability.</t>
  </si>
  <si>
    <t>source_position_id</t>
  </si>
  <si>
    <t>1-01-001-0001 (1); 1-01-001-0002 (1); 1-01-001-0003 (1)</t>
  </si>
  <si>
    <t>Stable link back to the source structure and canonical record.</t>
  </si>
  <si>
    <t>district_code</t>
  </si>
  <si>
    <t>Technical geography</t>
  </si>
  <si>
    <t>2 (3242); 1 (2884); 3 (1320)</t>
  </si>
  <si>
    <t>Redundant when the translated district name is retained.</t>
  </si>
  <si>
    <t>district</t>
  </si>
  <si>
    <t>Geography</t>
  </si>
  <si>
    <t>Тымовский (3242); Александровский (2884); Корсаковский (1320)</t>
  </si>
  <si>
    <t>Primary district dimension for filtering and aggregation.</t>
  </si>
  <si>
    <t>settlement_order</t>
  </si>
  <si>
    <t>Source ordering</t>
  </si>
  <si>
    <t>02 (1338); 24 (1266); 21 (632)</t>
  </si>
  <si>
    <t>Useful for source reconstruction but not required for compact analysis.</t>
  </si>
  <si>
    <t>settlement</t>
  </si>
  <si>
    <t>Пост Александровский (1338); Рыковское (1266); Дербинское (632)</t>
  </si>
  <si>
    <t>Core settlement-level analytical dimension.</t>
  </si>
  <si>
    <t>person_order_in_settlement</t>
  </si>
  <si>
    <t>Integer</t>
  </si>
  <si>
    <t>1 (51); 2 (50); 3 (50)</t>
  </si>
  <si>
    <t>Preserve in canonical for audit; person_id is sufficient in the compact layer.</t>
  </si>
  <si>
    <t>page_number</t>
  </si>
  <si>
    <t>Source reference</t>
  </si>
  <si>
    <t>182 (26); 184 (23); 258 (23)</t>
  </si>
  <si>
    <t>Useful for archival verification but not for routine SQL or Tableau analysis.</t>
  </si>
  <si>
    <t>household_id</t>
  </si>
  <si>
    <t>Household</t>
  </si>
  <si>
    <t>2 (111); 3 (102); 1 (97)</t>
  </si>
  <si>
    <t>Required for household counts and composition analysis within a settlement.</t>
  </si>
  <si>
    <t>household_type</t>
  </si>
  <si>
    <t>Частное (7200); Казарма (131); Дом (31)</t>
  </si>
  <si>
    <t>Supports household-type comparisons after controlled translation.</t>
  </si>
  <si>
    <t>household_details</t>
  </si>
  <si>
    <t>Free text</t>
  </si>
  <si>
    <t>Казарма (41); Под квартирой (9); Казарма Е (7)</t>
  </si>
  <si>
    <t>Detailed source text is difficult to translate consistently and is not needed for compact analysis.</t>
  </si>
  <si>
    <t>legal_status</t>
  </si>
  <si>
    <t>Detailed category</t>
  </si>
  <si>
    <t>Поселенец (2928); Ссыльнокаторжный (812); Женщина свободного состояния (588)</t>
  </si>
  <si>
    <t>Detailed historical wording remains available in canonical; use the reviewed normalized category downstream.</t>
  </si>
  <si>
    <t>legal_status_norm</t>
  </si>
  <si>
    <t>Analytical category</t>
  </si>
  <si>
    <t>Поселенец (2954); Свободного состояния (862); Ссыльнокаторжный (812)</t>
  </si>
  <si>
    <t>Reviewed compact legal-status category suitable for translation and grouping.</t>
  </si>
  <si>
    <t>name_raw</t>
  </si>
  <si>
    <t>Source name</t>
  </si>
  <si>
    <t>Иван Непомнящий (4); Дмитрий Иванов (3); Михаил Иванов (3)</t>
  </si>
  <si>
    <t>Preserve original Cyrillic source form in canonical; use reviewed components in the English layer.</t>
  </si>
  <si>
    <t>name_alias</t>
  </si>
  <si>
    <t>Name</t>
  </si>
  <si>
    <t>Гайфарова (2); Густов (2); Молодилова (2)</t>
  </si>
  <si>
    <t>Retains approved alternative or former names after transliteration.</t>
  </si>
  <si>
    <t>sex</t>
  </si>
  <si>
    <t>Demographic</t>
  </si>
  <si>
    <t>Мужской (4921); Женский (2525)</t>
  </si>
  <si>
    <t>Core demographic dimension with a small controlled vocabulary.</t>
  </si>
  <si>
    <t>sex_evidence</t>
  </si>
  <si>
    <t>Provenance</t>
  </si>
  <si>
    <t>legal_status + family_status (7017); family_status (279); legal_status (137)</t>
  </si>
  <si>
    <t>Audit provenance is valuable in canonical but not necessary in a compact analytical table.</t>
  </si>
  <si>
    <t>family_status</t>
  </si>
  <si>
    <t>Хозяин (2674); Жена (644); Сожительница (632)</t>
  </si>
  <si>
    <t>Use the reviewed normalized household/family role for compact analysis.</t>
  </si>
  <si>
    <t>family_status_norm</t>
  </si>
  <si>
    <t>Хозяин (2729); Жена (847); Сожительница (756)</t>
  </si>
  <si>
    <t>Compact reviewed household/family role for analysis.</t>
  </si>
  <si>
    <t>age</t>
  </si>
  <si>
    <t>30 (435); 35 (332); 40 (329)</t>
  </si>
  <si>
    <t>Core numeric measure for demographic analysis.</t>
  </si>
  <si>
    <t>age_months</t>
  </si>
  <si>
    <t>24 (211); 12 (105); 18 (30)</t>
  </si>
  <si>
    <t>Preserves infant and young-child precision not available from completed years alone.</t>
  </si>
  <si>
    <t>religion</t>
  </si>
  <si>
    <t>Православное (6158); Католическое (490); Магометанское (197)</t>
  </si>
  <si>
    <t>Core controlled category for historical demographic analysis.</t>
  </si>
  <si>
    <t>origin_place</t>
  </si>
  <si>
    <t>Detailed geography</t>
  </si>
  <si>
    <t>На Сахалине (1248); Тамбовская губерния (214); Самарская губерния (186)</t>
  </si>
  <si>
    <t>Use the reviewed normalized origin value in the compact layer.</t>
  </si>
  <si>
    <t>origin_place_norm</t>
  </si>
  <si>
    <t>Analytical geography</t>
  </si>
  <si>
    <t>На Сахалине (1254); Тамбовская губерния (214); Самарская губерния (186)</t>
  </si>
  <si>
    <t>Reviewed origin-place dimension for translation and migration analysis.</t>
  </si>
  <si>
    <t>arrival_year</t>
  </si>
  <si>
    <t>Migration</t>
  </si>
  <si>
    <t>1884 (548); 1886 (489); 1885 (474)</t>
  </si>
  <si>
    <t>Core numeric field for arrival timing and migration analysis.</t>
  </si>
  <si>
    <t>occupation</t>
  </si>
  <si>
    <t>Земледелие (245); Чернорабочий (200); Плотник (127)</t>
  </si>
  <si>
    <t>Use the reviewed normalized occupation value in the compact layer.</t>
  </si>
  <si>
    <t>occupation_norm</t>
  </si>
  <si>
    <t>Земледелие (245); Чернорабочий (202); Плотник (128)</t>
  </si>
  <si>
    <t>Reviewed occupation value suitable for translation and grouping.</t>
  </si>
  <si>
    <t>literacy</t>
  </si>
  <si>
    <t>Неграмотен (3735); Грамотен (1659); Образован (24)</t>
  </si>
  <si>
    <t>Core controlled educational indicator.</t>
  </si>
  <si>
    <t>marriage_status</t>
  </si>
  <si>
    <t>женат на родине (2472); холост (1471); вдов (575)</t>
  </si>
  <si>
    <t>Use the reviewed normalized marriage category in the compact layer.</t>
  </si>
  <si>
    <t>marriage_status_norm</t>
  </si>
  <si>
    <t>Женат на родине (2681); Холост (1622); Вдов (634)</t>
  </si>
  <si>
    <t>marital_status</t>
  </si>
  <si>
    <t>Reviewed compact marriage-status category.</t>
  </si>
  <si>
    <t>living_alone_status</t>
  </si>
  <si>
    <t>Одинок (442)</t>
  </si>
  <si>
    <t>Explicit reviewed indicator useful for household analysis.</t>
  </si>
  <si>
    <t>allowance_status</t>
  </si>
  <si>
    <t>Economic</t>
  </si>
  <si>
    <t>Boolean/text</t>
  </si>
  <si>
    <t>FALSE (4328); TRUE (2550)</t>
  </si>
  <si>
    <t>Controlled Boolean indicator suitable for SQL and Tableau.</t>
  </si>
  <si>
    <t>illness</t>
  </si>
  <si>
    <t>Detailed free text</t>
  </si>
  <si>
    <t>Богадельщик (7); Сифилис (7); Слепой (4)</t>
  </si>
  <si>
    <t>Detailed historical condition remains in canonical; use illness_norm downstream.</t>
  </si>
  <si>
    <t>illness_norm</t>
  </si>
  <si>
    <t>Богадельщик (10); Сифилис (7); Слепота (6)</t>
  </si>
  <si>
    <t>Reviewed compact condition category.</t>
  </si>
  <si>
    <t>comments</t>
  </si>
  <si>
    <t>В Александровском округе (70); Пришла за мужем (40); В Мауке (23)</t>
  </si>
  <si>
    <t>Free-text translation is high effort and outside the compact analytical scope.</t>
  </si>
  <si>
    <t>notes_raw</t>
  </si>
  <si>
    <t>Archive reference</t>
  </si>
  <si>
    <t>РГБ № 2029 (2); РГБ № 3773 (2); РГБ № 3945 (2)</t>
  </si>
  <si>
    <t>Preserve in canonical for audit; exclude from routine analytics.</t>
  </si>
  <si>
    <t>first_name</t>
  </si>
  <si>
    <t>Иван (531); Василий (277); Марья (214)</t>
  </si>
  <si>
    <t>Reviewed given-name component to transliterate.</t>
  </si>
  <si>
    <t>patronymic_name</t>
  </si>
  <si>
    <t>Иванов (353); Иванова (209); Васильев (156)</t>
  </si>
  <si>
    <t>Reviewed patronymic component to transliterate; blank where not present.</t>
  </si>
  <si>
    <t>last_name</t>
  </si>
  <si>
    <t>Иванов (73); Иванова (37); Петров (27)</t>
  </si>
  <si>
    <t>Reviewed surname component to transliterate.</t>
  </si>
  <si>
    <t>first_name_source</t>
  </si>
  <si>
    <t>observed (7185); reviewed_exception (170)</t>
  </si>
  <si>
    <t>Component provenance remains available in canonical.</t>
  </si>
  <si>
    <t>patronymic_source</t>
  </si>
  <si>
    <t>observed (4826); reviewed_exception (13)</t>
  </si>
  <si>
    <t>last_name_source</t>
  </si>
  <si>
    <t>observed (7143); reviewed_exception (294)</t>
  </si>
  <si>
    <t>parse_status</t>
  </si>
  <si>
    <t>Technical QA</t>
  </si>
  <si>
    <t>observed (7446)</t>
  </si>
  <si>
    <t>All canonical v5 records are resolved as observed; no analytical variation remains.</t>
  </si>
  <si>
    <t>parse_confidence</t>
  </si>
  <si>
    <t>high (7446)</t>
  </si>
  <si>
    <t>All final records were reviewed; this technical field is not needed downstream.</t>
  </si>
  <si>
    <t>parse_rule</t>
  </si>
  <si>
    <t>three_token_deterministic (4550); two_token_source_order (2320); catholic_lutheran_patronymic (269)</t>
  </si>
  <si>
    <t>Parsing audit detail belongs in canonical and QA layers.</t>
  </si>
  <si>
    <t>name_order_detected</t>
  </si>
  <si>
    <t>first_patronymic_last (4817); first_last (2320); reviewed_exception (301)</t>
  </si>
  <si>
    <t>Source-order audit detail is not needed for compact analysis.</t>
  </si>
  <si>
    <t>naming_model</t>
  </si>
  <si>
    <t>russian_historical (6217); catholic (490); unknown (250)</t>
  </si>
  <si>
    <t>Useful for parser audit, not a primary historical analytical dimension.</t>
  </si>
  <si>
    <t>manual_review_reason</t>
  </si>
  <si>
    <t>Owner-approved complete Muslim-name re-review: Approve current (166); Owner-approved last-name book discrepancy review (36); Owner-approved complete Muslim-name re-review: Use full string as last (21)</t>
  </si>
  <si>
    <t>Manual-review narrative remains in canonical provenance.</t>
  </si>
  <si>
    <t>patronymic_name_proposed</t>
  </si>
  <si>
    <t>Temporary QA</t>
  </si>
  <si>
    <t>Blank for all canonical v5 records and retained only for workflow compatibility.</t>
  </si>
  <si>
    <t>proposal_rule</t>
  </si>
  <si>
    <t>full_name</t>
  </si>
  <si>
    <t>archive_code</t>
  </si>
  <si>
    <t>person_seq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</si>
</sst>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6"/>
      <color rgb="FFFFFFFF"/>
      <name val="Carlito"/>
    </font>
    <font>
      <b/>
      <sz val="11"/>
      <color rgb="FF16324F"/>
      <name val="Carlito"/>
    </font>
    <font>
      <b/>
      <sz val="10"/>
      <color rgb="FFFFFFFF"/>
      <name val="Aptos"/>
    </font>
    <font>
      <b/>
      <sz val="11"/>
      <color rgb="FFFFFFFF"/>
      <name val="Carlito"/>
    </font>
    <font>
      <b/>
      <sz val="11"/>
      <color rgb="FF7F6000"/>
      <name val="Carlito"/>
    </font>
    <font>
      <i/>
      <sz val="11"/>
      <color rgb="FF16324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A6A6A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4" fillId="4" borderId="2" xfId="0" applyFont="1" applyFill="1" applyBorder="1" applyAlignment="1">
      <alignment vertical="top" wrapText="1"/>
    </xf>
    <xf numFmtId="1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3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5" borderId="3" xfId="0" applyFill="1" applyBorder="1" applyAlignment="1">
      <alignment vertical="top"/>
    </xf>
    <xf numFmtId="0" fontId="0" fillId="5" borderId="3" xfId="0" applyFill="1" applyBorder="1" applyAlignment="1">
      <alignment vertical="top" wrapText="1"/>
    </xf>
    <xf numFmtId="1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3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5" borderId="4" xfId="0" applyFill="1" applyBorder="1" applyAlignment="1">
      <alignment vertical="top"/>
    </xf>
    <xf numFmtId="0" fontId="0" fillId="5" borderId="4" xfId="0" applyFill="1" applyBorder="1" applyAlignment="1">
      <alignment vertical="top" wrapText="1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5" fillId="5" borderId="0" xfId="0" applyFont="1" applyFill="1" applyAlignment="1">
      <alignment vertical="center" wrapText="1"/>
    </xf>
    <xf numFmtId="0" fontId="6" fillId="3" borderId="0" xfId="0" applyFont="1" applyFill="1"/>
  </cellXfs>
  <cellStyles count="1">
    <cellStyle name="Normal" xfId="0" builtinId="0"/>
  </cellStyles>
  <dxfs count="7">
    <dxf>
      <font>
        <color rgb="FF1F4E78"/>
      </font>
      <fill>
        <patternFill patternType="solid">
          <bgColor rgb="FFD9EAF7"/>
        </patternFill>
      </fill>
    </dxf>
    <dxf>
      <font>
        <color rgb="FF843C0C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1F4E78"/>
      </font>
      <fill>
        <patternFill patternType="solid">
          <bgColor rgb="FFD9EAF7"/>
        </patternFill>
      </fill>
    </dxf>
    <dxf>
      <font>
        <color rgb="FF843C0C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ctColumnReview" displayName="CompactColumnReview" ref="A4:N54" totalsRowShown="0">
  <autoFilter ref="A4:N54" xr:uid="{00000000-000C-0000-FFFF-FFFF00000000}"/>
  <tableColumns count="14">
    <tableColumn id="1" xr3:uid="{00000000-0010-0000-0000-000001000000}" name="Order"/>
    <tableColumn id="2" xr3:uid="{00000000-0010-0000-0000-000002000000}" name="Canonical field"/>
    <tableColumn id="3" xr3:uid="{00000000-0010-0000-0000-000003000000}" name="Role"/>
    <tableColumn id="4" xr3:uid="{00000000-0010-0000-0000-000004000000}" name="Canonical type"/>
    <tableColumn id="5" xr3:uid="{00000000-0010-0000-0000-000005000000}" name="Populated"/>
    <tableColumn id="6" xr3:uid="{00000000-0010-0000-0000-000006000000}" name="Blank"/>
    <tableColumn id="7" xr3:uid="{00000000-0010-0000-0000-000007000000}" name="Distinct populated"/>
    <tableColumn id="8" xr3:uid="{00000000-0010-0000-0000-000008000000}" name="Common examples (count)"/>
    <tableColumn id="9" xr3:uid="{00000000-0010-0000-0000-000009000000}" name="Recommendation"/>
    <tableColumn id="10" xr3:uid="{00000000-0010-0000-0000-00000A000000}" name="Proposed English field"/>
    <tableColumn id="11" xr3:uid="{00000000-0010-0000-0000-00000B000000}" name="Rationale"/>
    <tableColumn id="12" xr3:uid="{00000000-0010-0000-0000-00000C000000}" name="Owner decision"/>
    <tableColumn id="13" xr3:uid="{00000000-0010-0000-0000-00000D000000}" name="Owner English name"/>
    <tableColumn id="14" xr3:uid="{00000000-0010-0000-0000-00000E000000}" name="Own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sqref="A1:F1"/>
    </sheetView>
  </sheetViews>
  <sheetFormatPr defaultRowHeight="14.4" x14ac:dyDescent="0.3"/>
  <cols>
    <col min="1" max="1" width="22" customWidth="1"/>
    <col min="2" max="2" width="95" customWidth="1"/>
  </cols>
  <sheetData>
    <row r="1" spans="1:6" ht="30" customHeight="1" x14ac:dyDescent="0.3">
      <c r="A1" s="18" t="s">
        <v>0</v>
      </c>
      <c r="B1" s="18"/>
      <c r="C1" s="19"/>
      <c r="D1" s="19"/>
      <c r="E1" s="19"/>
      <c r="F1" s="19"/>
    </row>
    <row r="3" spans="1:6" x14ac:dyDescent="0.3">
      <c r="A3" s="1" t="s">
        <v>1</v>
      </c>
      <c r="B3" s="2" t="s">
        <v>2</v>
      </c>
    </row>
    <row r="4" spans="1:6" x14ac:dyDescent="0.3">
      <c r="A4" s="1" t="s">
        <v>3</v>
      </c>
      <c r="B4" s="2" t="s">
        <v>4</v>
      </c>
    </row>
    <row r="5" spans="1:6" x14ac:dyDescent="0.3">
      <c r="A5" s="1" t="s">
        <v>5</v>
      </c>
      <c r="B5" s="2" t="s">
        <v>6</v>
      </c>
    </row>
    <row r="6" spans="1:6" x14ac:dyDescent="0.3">
      <c r="A6" s="1" t="s">
        <v>7</v>
      </c>
      <c r="B6" s="2" t="s">
        <v>8</v>
      </c>
    </row>
    <row r="7" spans="1:6" x14ac:dyDescent="0.3">
      <c r="A7" s="1" t="s">
        <v>9</v>
      </c>
      <c r="B7" s="2" t="s">
        <v>10</v>
      </c>
    </row>
    <row r="8" spans="1:6" x14ac:dyDescent="0.3">
      <c r="A8" s="1" t="s">
        <v>11</v>
      </c>
      <c r="B8" s="2" t="s">
        <v>12</v>
      </c>
    </row>
    <row r="9" spans="1:6" x14ac:dyDescent="0.3">
      <c r="A9" s="1" t="s">
        <v>13</v>
      </c>
      <c r="B9" s="2" t="s">
        <v>14</v>
      </c>
    </row>
    <row r="10" spans="1:6" x14ac:dyDescent="0.3">
      <c r="A10" s="1" t="s">
        <v>15</v>
      </c>
      <c r="B10" s="2" t="s">
        <v>16</v>
      </c>
    </row>
    <row r="11" spans="1:6" x14ac:dyDescent="0.3">
      <c r="A11" s="1" t="s">
        <v>17</v>
      </c>
      <c r="B11" s="2" t="s">
        <v>18</v>
      </c>
    </row>
    <row r="12" spans="1:6" x14ac:dyDescent="0.3">
      <c r="A12" s="1" t="s">
        <v>19</v>
      </c>
      <c r="B12" s="2" t="s">
        <v>20</v>
      </c>
    </row>
    <row r="13" spans="1:6" x14ac:dyDescent="0.3">
      <c r="A13" s="1" t="s">
        <v>21</v>
      </c>
      <c r="B13" s="2" t="s">
        <v>22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workbookViewId="0">
      <selection sqref="A1:F1"/>
    </sheetView>
  </sheetViews>
  <sheetFormatPr defaultRowHeight="14.4" x14ac:dyDescent="0.3"/>
  <cols>
    <col min="1" max="1" width="30" customWidth="1"/>
    <col min="2" max="2" width="14" customWidth="1"/>
    <col min="4" max="4" width="28" customWidth="1"/>
    <col min="5" max="5" width="14" customWidth="1"/>
  </cols>
  <sheetData>
    <row r="1" spans="1:6" ht="21" x14ac:dyDescent="0.4">
      <c r="A1" s="20" t="s">
        <v>23</v>
      </c>
      <c r="B1" s="20"/>
      <c r="C1" s="20"/>
      <c r="D1" s="20"/>
      <c r="E1" s="20"/>
      <c r="F1" s="20"/>
    </row>
    <row r="3" spans="1:6" x14ac:dyDescent="0.3">
      <c r="A3" s="3" t="s">
        <v>24</v>
      </c>
      <c r="B3" s="3" t="s">
        <v>25</v>
      </c>
      <c r="D3" s="3" t="s">
        <v>26</v>
      </c>
      <c r="E3" s="3" t="s">
        <v>25</v>
      </c>
    </row>
    <row r="4" spans="1:6" x14ac:dyDescent="0.3">
      <c r="A4" s="4" t="s">
        <v>7</v>
      </c>
      <c r="B4" s="4">
        <v>50</v>
      </c>
      <c r="D4" s="4" t="s">
        <v>27</v>
      </c>
      <c r="E4" s="4">
        <f>COUNTIF('Column Review'!$L$5:$L$54,D4)</f>
        <v>0</v>
      </c>
    </row>
    <row r="5" spans="1:6" x14ac:dyDescent="0.3">
      <c r="A5" s="4" t="s">
        <v>28</v>
      </c>
      <c r="B5" s="4">
        <f>COUNTIF('Column Review'!$I$5:$I$54,"Include")</f>
        <v>24</v>
      </c>
      <c r="D5" s="4" t="s">
        <v>13</v>
      </c>
      <c r="E5" s="4">
        <f>COUNTIF('Column Review'!$L$5:$L$54,D5)</f>
        <v>23</v>
      </c>
    </row>
    <row r="6" spans="1:6" x14ac:dyDescent="0.3">
      <c r="A6" s="4" t="s">
        <v>29</v>
      </c>
      <c r="B6" s="4">
        <f>COUNTIF('Column Review'!$I$5:$I$54,"Canonical only")</f>
        <v>21</v>
      </c>
      <c r="D6" s="4" t="s">
        <v>17</v>
      </c>
      <c r="E6" s="4">
        <f>COUNTIF('Column Review'!$L$5:$L$54,D6)</f>
        <v>22</v>
      </c>
    </row>
    <row r="7" spans="1:6" x14ac:dyDescent="0.3">
      <c r="A7" s="4" t="s">
        <v>30</v>
      </c>
      <c r="B7" s="4">
        <f>COUNTIF('Column Review'!$I$5:$I$54,"Exclude")</f>
        <v>5</v>
      </c>
      <c r="D7" s="4" t="s">
        <v>15</v>
      </c>
      <c r="E7" s="4">
        <f>COUNTIF('Column Review'!$L$5:$L$54,D7)</f>
        <v>5</v>
      </c>
    </row>
    <row r="8" spans="1:6" x14ac:dyDescent="0.3">
      <c r="D8" s="4" t="s">
        <v>19</v>
      </c>
      <c r="E8" s="4">
        <f>COUNTIF('Column Review'!$L$5:$L$54,D8)</f>
        <v>0</v>
      </c>
    </row>
    <row r="9" spans="1:6" x14ac:dyDescent="0.3">
      <c r="D9" s="4" t="s">
        <v>31</v>
      </c>
      <c r="E9" s="4">
        <f>50-E4</f>
        <v>50</v>
      </c>
    </row>
    <row r="11" spans="1:6" x14ac:dyDescent="0.3">
      <c r="A11" s="21" t="s">
        <v>32</v>
      </c>
      <c r="B11" s="21"/>
      <c r="C11" s="21"/>
      <c r="D11" s="21"/>
      <c r="E11" s="21"/>
      <c r="F11" s="21"/>
    </row>
    <row r="12" spans="1:6" x14ac:dyDescent="0.3">
      <c r="A12" s="21"/>
      <c r="B12" s="21"/>
      <c r="C12" s="21"/>
      <c r="D12" s="21"/>
      <c r="E12" s="21"/>
      <c r="F12" s="21"/>
    </row>
    <row r="13" spans="1:6" x14ac:dyDescent="0.3">
      <c r="A13" s="21"/>
      <c r="B13" s="21"/>
      <c r="C13" s="21"/>
      <c r="D13" s="21"/>
      <c r="E13" s="21"/>
      <c r="F13" s="21"/>
    </row>
  </sheetData>
  <mergeCells count="2">
    <mergeCell ref="A1:F1"/>
    <mergeCell ref="A11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4"/>
  <sheetViews>
    <sheetView showGridLines="0" topLeftCell="A4" zoomScale="70" zoomScaleNormal="70" workbookViewId="0">
      <selection activeCell="N20" sqref="N20"/>
    </sheetView>
  </sheetViews>
  <sheetFormatPr defaultRowHeight="14.4" x14ac:dyDescent="0.3"/>
  <cols>
    <col min="1" max="1" width="8" customWidth="1"/>
    <col min="2" max="2" width="26" customWidth="1"/>
    <col min="3" max="3" width="20" customWidth="1"/>
    <col min="4" max="4" width="16" customWidth="1"/>
    <col min="5" max="5" width="12" customWidth="1"/>
    <col min="6" max="6" width="10" customWidth="1"/>
    <col min="7" max="7" width="18" customWidth="1"/>
    <col min="8" max="8" width="45" customWidth="1"/>
    <col min="9" max="9" width="18" customWidth="1"/>
    <col min="10" max="10" width="28" customWidth="1"/>
    <col min="11" max="11" width="65" customWidth="1"/>
    <col min="12" max="12" width="20" customWidth="1"/>
    <col min="13" max="13" width="28" customWidth="1"/>
    <col min="14" max="14" width="50" customWidth="1"/>
  </cols>
  <sheetData>
    <row r="1" spans="1:14" ht="21" x14ac:dyDescent="0.4">
      <c r="A1" s="20" t="s">
        <v>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3">
      <c r="A2" s="22" t="s">
        <v>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 ht="36" customHeight="1" x14ac:dyDescent="0.3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26</v>
      </c>
      <c r="M4" s="5" t="s">
        <v>46</v>
      </c>
      <c r="N4" s="5" t="s">
        <v>47</v>
      </c>
    </row>
    <row r="5" spans="1:14" ht="28.8" x14ac:dyDescent="0.3">
      <c r="A5" s="6">
        <v>1</v>
      </c>
      <c r="B5" s="7" t="s">
        <v>48</v>
      </c>
      <c r="C5" s="7" t="s">
        <v>49</v>
      </c>
      <c r="D5" s="7" t="s">
        <v>50</v>
      </c>
      <c r="E5" s="8">
        <v>7446</v>
      </c>
      <c r="F5" s="8">
        <v>0</v>
      </c>
      <c r="G5" s="8">
        <v>7446</v>
      </c>
      <c r="H5" s="9" t="s">
        <v>51</v>
      </c>
      <c r="I5" s="9" t="s">
        <v>13</v>
      </c>
      <c r="J5" s="9" t="s">
        <v>48</v>
      </c>
      <c r="K5" s="9" t="s">
        <v>52</v>
      </c>
      <c r="L5" s="10" t="s">
        <v>13</v>
      </c>
      <c r="M5" s="10" t="s">
        <v>48</v>
      </c>
      <c r="N5" s="11"/>
    </row>
    <row r="6" spans="1:14" ht="28.8" x14ac:dyDescent="0.3">
      <c r="A6" s="6">
        <v>2</v>
      </c>
      <c r="B6" s="7" t="s">
        <v>53</v>
      </c>
      <c r="C6" s="7" t="s">
        <v>49</v>
      </c>
      <c r="D6" s="7" t="s">
        <v>50</v>
      </c>
      <c r="E6" s="8">
        <v>7446</v>
      </c>
      <c r="F6" s="8">
        <v>0</v>
      </c>
      <c r="G6" s="8">
        <v>7446</v>
      </c>
      <c r="H6" s="9" t="s">
        <v>54</v>
      </c>
      <c r="I6" s="9" t="s">
        <v>13</v>
      </c>
      <c r="J6" s="9" t="s">
        <v>53</v>
      </c>
      <c r="K6" s="9" t="s">
        <v>55</v>
      </c>
      <c r="L6" s="10" t="s">
        <v>13</v>
      </c>
      <c r="M6" s="10" t="s">
        <v>53</v>
      </c>
      <c r="N6" s="11"/>
    </row>
    <row r="7" spans="1:14" x14ac:dyDescent="0.3">
      <c r="A7" s="6">
        <v>3</v>
      </c>
      <c r="B7" s="7" t="s">
        <v>56</v>
      </c>
      <c r="C7" s="7" t="s">
        <v>57</v>
      </c>
      <c r="D7" s="7" t="s">
        <v>50</v>
      </c>
      <c r="E7" s="8">
        <v>7446</v>
      </c>
      <c r="F7" s="8">
        <v>0</v>
      </c>
      <c r="G7" s="8">
        <v>3</v>
      </c>
      <c r="H7" s="9" t="s">
        <v>58</v>
      </c>
      <c r="I7" s="9" t="s">
        <v>15</v>
      </c>
      <c r="J7" s="9"/>
      <c r="K7" s="9" t="s">
        <v>59</v>
      </c>
      <c r="L7" s="10" t="s">
        <v>15</v>
      </c>
      <c r="M7" s="10"/>
      <c r="N7" s="11"/>
    </row>
    <row r="8" spans="1:14" ht="28.8" x14ac:dyDescent="0.3">
      <c r="A8" s="6">
        <v>4</v>
      </c>
      <c r="B8" s="7" t="s">
        <v>60</v>
      </c>
      <c r="C8" s="7" t="s">
        <v>61</v>
      </c>
      <c r="D8" s="7" t="s">
        <v>50</v>
      </c>
      <c r="E8" s="8">
        <v>7446</v>
      </c>
      <c r="F8" s="8">
        <v>0</v>
      </c>
      <c r="G8" s="8">
        <v>3</v>
      </c>
      <c r="H8" s="9" t="s">
        <v>62</v>
      </c>
      <c r="I8" s="9" t="s">
        <v>13</v>
      </c>
      <c r="J8" s="9" t="s">
        <v>60</v>
      </c>
      <c r="K8" s="9" t="s">
        <v>63</v>
      </c>
      <c r="L8" s="10" t="s">
        <v>13</v>
      </c>
      <c r="M8" s="10" t="s">
        <v>60</v>
      </c>
      <c r="N8" s="11"/>
    </row>
    <row r="9" spans="1:14" x14ac:dyDescent="0.3">
      <c r="A9" s="6">
        <v>5</v>
      </c>
      <c r="B9" s="7" t="s">
        <v>64</v>
      </c>
      <c r="C9" s="7" t="s">
        <v>65</v>
      </c>
      <c r="D9" s="7" t="s">
        <v>50</v>
      </c>
      <c r="E9" s="8">
        <v>7446</v>
      </c>
      <c r="F9" s="8">
        <v>0</v>
      </c>
      <c r="G9" s="8">
        <v>51</v>
      </c>
      <c r="H9" s="9" t="s">
        <v>66</v>
      </c>
      <c r="I9" s="9" t="s">
        <v>17</v>
      </c>
      <c r="J9" s="9"/>
      <c r="K9" s="9" t="s">
        <v>67</v>
      </c>
      <c r="L9" s="10" t="s">
        <v>17</v>
      </c>
      <c r="M9" s="10"/>
      <c r="N9" s="11"/>
    </row>
    <row r="10" spans="1:14" ht="28.8" x14ac:dyDescent="0.3">
      <c r="A10" s="6">
        <v>6</v>
      </c>
      <c r="B10" s="7" t="s">
        <v>68</v>
      </c>
      <c r="C10" s="7" t="s">
        <v>61</v>
      </c>
      <c r="D10" s="7" t="s">
        <v>50</v>
      </c>
      <c r="E10" s="8">
        <v>7446</v>
      </c>
      <c r="F10" s="8">
        <v>0</v>
      </c>
      <c r="G10" s="8">
        <v>51</v>
      </c>
      <c r="H10" s="9" t="s">
        <v>69</v>
      </c>
      <c r="I10" s="9" t="s">
        <v>13</v>
      </c>
      <c r="J10" s="9" t="s">
        <v>68</v>
      </c>
      <c r="K10" s="9" t="s">
        <v>70</v>
      </c>
      <c r="L10" s="10" t="s">
        <v>13</v>
      </c>
      <c r="M10" s="10" t="s">
        <v>68</v>
      </c>
      <c r="N10" s="11"/>
    </row>
    <row r="11" spans="1:14" x14ac:dyDescent="0.3">
      <c r="A11" s="6">
        <v>7</v>
      </c>
      <c r="B11" s="7" t="s">
        <v>71</v>
      </c>
      <c r="C11" s="7" t="s">
        <v>65</v>
      </c>
      <c r="D11" s="7" t="s">
        <v>72</v>
      </c>
      <c r="E11" s="8">
        <v>7446</v>
      </c>
      <c r="F11" s="8">
        <v>0</v>
      </c>
      <c r="G11" s="8">
        <v>1338</v>
      </c>
      <c r="H11" s="9" t="s">
        <v>73</v>
      </c>
      <c r="I11" s="9" t="s">
        <v>17</v>
      </c>
      <c r="J11" s="9"/>
      <c r="K11" s="9" t="s">
        <v>74</v>
      </c>
      <c r="L11" s="10" t="s">
        <v>13</v>
      </c>
      <c r="M11" s="10" t="s">
        <v>220</v>
      </c>
      <c r="N11" s="11"/>
    </row>
    <row r="12" spans="1:14" x14ac:dyDescent="0.3">
      <c r="A12" s="6">
        <v>8</v>
      </c>
      <c r="B12" s="7" t="s">
        <v>75</v>
      </c>
      <c r="C12" s="7" t="s">
        <v>76</v>
      </c>
      <c r="D12" s="7" t="s">
        <v>72</v>
      </c>
      <c r="E12" s="8">
        <v>7446</v>
      </c>
      <c r="F12" s="8">
        <v>0</v>
      </c>
      <c r="G12" s="8">
        <v>431</v>
      </c>
      <c r="H12" s="9" t="s">
        <v>77</v>
      </c>
      <c r="I12" s="9" t="s">
        <v>17</v>
      </c>
      <c r="J12" s="9"/>
      <c r="K12" s="9" t="s">
        <v>78</v>
      </c>
      <c r="L12" s="10" t="s">
        <v>17</v>
      </c>
      <c r="M12" s="10"/>
      <c r="N12" s="11"/>
    </row>
    <row r="13" spans="1:14" x14ac:dyDescent="0.3">
      <c r="A13" s="6">
        <v>9</v>
      </c>
      <c r="B13" s="7" t="s">
        <v>79</v>
      </c>
      <c r="C13" s="7" t="s">
        <v>80</v>
      </c>
      <c r="D13" s="7" t="s">
        <v>50</v>
      </c>
      <c r="E13" s="8">
        <v>7200</v>
      </c>
      <c r="F13" s="8">
        <v>246</v>
      </c>
      <c r="G13" s="8">
        <v>359</v>
      </c>
      <c r="H13" s="9" t="s">
        <v>81</v>
      </c>
      <c r="I13" s="9" t="s">
        <v>13</v>
      </c>
      <c r="J13" s="9" t="s">
        <v>79</v>
      </c>
      <c r="K13" s="9" t="s">
        <v>82</v>
      </c>
      <c r="L13" s="10" t="s">
        <v>13</v>
      </c>
      <c r="M13" s="10" t="s">
        <v>79</v>
      </c>
      <c r="N13" s="11"/>
    </row>
    <row r="14" spans="1:14" x14ac:dyDescent="0.3">
      <c r="A14" s="6">
        <v>10</v>
      </c>
      <c r="B14" s="7" t="s">
        <v>83</v>
      </c>
      <c r="C14" s="7" t="s">
        <v>80</v>
      </c>
      <c r="D14" s="7" t="s">
        <v>50</v>
      </c>
      <c r="E14" s="8">
        <v>7422</v>
      </c>
      <c r="F14" s="8">
        <v>24</v>
      </c>
      <c r="G14" s="8">
        <v>11</v>
      </c>
      <c r="H14" s="9" t="s">
        <v>84</v>
      </c>
      <c r="I14" s="9" t="s">
        <v>13</v>
      </c>
      <c r="J14" s="9" t="s">
        <v>83</v>
      </c>
      <c r="K14" s="9" t="s">
        <v>85</v>
      </c>
      <c r="L14" s="10" t="s">
        <v>13</v>
      </c>
      <c r="M14" s="10" t="s">
        <v>83</v>
      </c>
      <c r="N14" s="11"/>
    </row>
    <row r="15" spans="1:14" ht="28.8" x14ac:dyDescent="0.3">
      <c r="A15" s="6">
        <v>11</v>
      </c>
      <c r="B15" s="7" t="s">
        <v>86</v>
      </c>
      <c r="C15" s="7" t="s">
        <v>87</v>
      </c>
      <c r="D15" s="7" t="s">
        <v>50</v>
      </c>
      <c r="E15" s="8">
        <v>211</v>
      </c>
      <c r="F15" s="8">
        <v>7235</v>
      </c>
      <c r="G15" s="8">
        <v>77</v>
      </c>
      <c r="H15" s="9" t="s">
        <v>88</v>
      </c>
      <c r="I15" s="9" t="s">
        <v>17</v>
      </c>
      <c r="J15" s="9"/>
      <c r="K15" s="9" t="s">
        <v>89</v>
      </c>
      <c r="L15" s="10" t="s">
        <v>17</v>
      </c>
      <c r="M15" s="10"/>
      <c r="N15" s="11"/>
    </row>
    <row r="16" spans="1:14" ht="28.8" x14ac:dyDescent="0.3">
      <c r="A16" s="6">
        <v>12</v>
      </c>
      <c r="B16" s="7" t="s">
        <v>90</v>
      </c>
      <c r="C16" s="7" t="s">
        <v>91</v>
      </c>
      <c r="D16" s="7" t="s">
        <v>50</v>
      </c>
      <c r="E16" s="8">
        <v>7422</v>
      </c>
      <c r="F16" s="8">
        <v>24</v>
      </c>
      <c r="G16" s="8">
        <v>97</v>
      </c>
      <c r="H16" s="9" t="s">
        <v>92</v>
      </c>
      <c r="I16" s="9" t="s">
        <v>17</v>
      </c>
      <c r="J16" s="9"/>
      <c r="K16" s="9" t="s">
        <v>93</v>
      </c>
      <c r="L16" s="10" t="s">
        <v>17</v>
      </c>
      <c r="M16" s="10"/>
      <c r="N16" s="11"/>
    </row>
    <row r="17" spans="1:14" ht="28.8" x14ac:dyDescent="0.3">
      <c r="A17" s="6">
        <v>13</v>
      </c>
      <c r="B17" s="7" t="s">
        <v>94</v>
      </c>
      <c r="C17" s="7" t="s">
        <v>95</v>
      </c>
      <c r="D17" s="7" t="s">
        <v>50</v>
      </c>
      <c r="E17" s="8">
        <v>7422</v>
      </c>
      <c r="F17" s="8">
        <v>24</v>
      </c>
      <c r="G17" s="8">
        <v>61</v>
      </c>
      <c r="H17" s="9" t="s">
        <v>96</v>
      </c>
      <c r="I17" s="9" t="s">
        <v>13</v>
      </c>
      <c r="J17" s="9" t="s">
        <v>90</v>
      </c>
      <c r="K17" s="9" t="s">
        <v>97</v>
      </c>
      <c r="L17" s="10" t="s">
        <v>13</v>
      </c>
      <c r="M17" s="10" t="s">
        <v>90</v>
      </c>
      <c r="N17" s="11"/>
    </row>
    <row r="18" spans="1:14" ht="28.8" x14ac:dyDescent="0.3">
      <c r="A18" s="6">
        <v>14</v>
      </c>
      <c r="B18" s="7" t="s">
        <v>98</v>
      </c>
      <c r="C18" s="7" t="s">
        <v>99</v>
      </c>
      <c r="D18" s="7" t="s">
        <v>50</v>
      </c>
      <c r="E18" s="8">
        <v>7446</v>
      </c>
      <c r="F18" s="8">
        <v>0</v>
      </c>
      <c r="G18" s="8">
        <v>7365</v>
      </c>
      <c r="H18" s="9" t="s">
        <v>100</v>
      </c>
      <c r="I18" s="9" t="s">
        <v>17</v>
      </c>
      <c r="J18" s="9"/>
      <c r="K18" s="9" t="s">
        <v>101</v>
      </c>
      <c r="L18" s="10" t="s">
        <v>13</v>
      </c>
      <c r="M18" s="10" t="s">
        <v>218</v>
      </c>
      <c r="N18" s="11"/>
    </row>
    <row r="19" spans="1:14" x14ac:dyDescent="0.3">
      <c r="A19" s="6">
        <v>15</v>
      </c>
      <c r="B19" s="7" t="s">
        <v>102</v>
      </c>
      <c r="C19" s="7" t="s">
        <v>103</v>
      </c>
      <c r="D19" s="7" t="s">
        <v>50</v>
      </c>
      <c r="E19" s="8">
        <v>97</v>
      </c>
      <c r="F19" s="8">
        <v>7349</v>
      </c>
      <c r="G19" s="8">
        <v>93</v>
      </c>
      <c r="H19" s="9" t="s">
        <v>104</v>
      </c>
      <c r="I19" s="9" t="s">
        <v>13</v>
      </c>
      <c r="J19" s="9" t="s">
        <v>102</v>
      </c>
      <c r="K19" s="9" t="s">
        <v>105</v>
      </c>
      <c r="L19" s="10" t="s">
        <v>17</v>
      </c>
      <c r="M19" s="10" t="s">
        <v>102</v>
      </c>
      <c r="N19" s="11"/>
    </row>
    <row r="20" spans="1:14" x14ac:dyDescent="0.3">
      <c r="A20" s="6">
        <v>16</v>
      </c>
      <c r="B20" s="7" t="s">
        <v>106</v>
      </c>
      <c r="C20" s="7" t="s">
        <v>107</v>
      </c>
      <c r="D20" s="7" t="s">
        <v>50</v>
      </c>
      <c r="E20" s="8">
        <v>7446</v>
      </c>
      <c r="F20" s="8">
        <v>0</v>
      </c>
      <c r="G20" s="8">
        <v>2</v>
      </c>
      <c r="H20" s="9" t="s">
        <v>108</v>
      </c>
      <c r="I20" s="9" t="s">
        <v>13</v>
      </c>
      <c r="J20" s="9" t="s">
        <v>106</v>
      </c>
      <c r="K20" s="9" t="s">
        <v>109</v>
      </c>
      <c r="L20" s="10" t="s">
        <v>13</v>
      </c>
      <c r="M20" s="10" t="s">
        <v>106</v>
      </c>
      <c r="N20" s="11"/>
    </row>
    <row r="21" spans="1:14" ht="28.8" x14ac:dyDescent="0.3">
      <c r="A21" s="6">
        <v>17</v>
      </c>
      <c r="B21" s="7" t="s">
        <v>110</v>
      </c>
      <c r="C21" s="7" t="s">
        <v>111</v>
      </c>
      <c r="D21" s="7" t="s">
        <v>50</v>
      </c>
      <c r="E21" s="8">
        <v>7446</v>
      </c>
      <c r="F21" s="8">
        <v>0</v>
      </c>
      <c r="G21" s="8">
        <v>5</v>
      </c>
      <c r="H21" s="9" t="s">
        <v>112</v>
      </c>
      <c r="I21" s="9" t="s">
        <v>17</v>
      </c>
      <c r="J21" s="9"/>
      <c r="K21" s="9" t="s">
        <v>113</v>
      </c>
      <c r="L21" s="10" t="s">
        <v>17</v>
      </c>
      <c r="M21" s="10"/>
      <c r="N21" s="11"/>
    </row>
    <row r="22" spans="1:14" x14ac:dyDescent="0.3">
      <c r="A22" s="6">
        <v>18</v>
      </c>
      <c r="B22" s="7" t="s">
        <v>114</v>
      </c>
      <c r="C22" s="7" t="s">
        <v>91</v>
      </c>
      <c r="D22" s="7" t="s">
        <v>50</v>
      </c>
      <c r="E22" s="8">
        <v>7324</v>
      </c>
      <c r="F22" s="8">
        <v>122</v>
      </c>
      <c r="G22" s="8">
        <v>189</v>
      </c>
      <c r="H22" s="9" t="s">
        <v>115</v>
      </c>
      <c r="I22" s="9" t="s">
        <v>17</v>
      </c>
      <c r="J22" s="9"/>
      <c r="K22" s="9" t="s">
        <v>116</v>
      </c>
      <c r="L22" s="10" t="s">
        <v>17</v>
      </c>
      <c r="M22" s="10"/>
      <c r="N22" s="11"/>
    </row>
    <row r="23" spans="1:14" x14ac:dyDescent="0.3">
      <c r="A23" s="6">
        <v>19</v>
      </c>
      <c r="B23" s="7" t="s">
        <v>117</v>
      </c>
      <c r="C23" s="7" t="s">
        <v>95</v>
      </c>
      <c r="D23" s="7" t="s">
        <v>50</v>
      </c>
      <c r="E23" s="8">
        <v>7324</v>
      </c>
      <c r="F23" s="8">
        <v>122</v>
      </c>
      <c r="G23" s="8">
        <v>37</v>
      </c>
      <c r="H23" s="9" t="s">
        <v>118</v>
      </c>
      <c r="I23" s="9" t="s">
        <v>13</v>
      </c>
      <c r="J23" s="9" t="s">
        <v>114</v>
      </c>
      <c r="K23" s="9" t="s">
        <v>119</v>
      </c>
      <c r="L23" s="10" t="s">
        <v>13</v>
      </c>
      <c r="M23" s="10" t="s">
        <v>114</v>
      </c>
      <c r="N23" s="11"/>
    </row>
    <row r="24" spans="1:14" x14ac:dyDescent="0.3">
      <c r="A24" s="6">
        <v>20</v>
      </c>
      <c r="B24" s="7" t="s">
        <v>120</v>
      </c>
      <c r="C24" s="7" t="s">
        <v>107</v>
      </c>
      <c r="D24" s="7" t="s">
        <v>72</v>
      </c>
      <c r="E24" s="8">
        <v>7299</v>
      </c>
      <c r="F24" s="8">
        <v>147</v>
      </c>
      <c r="G24" s="8">
        <v>83</v>
      </c>
      <c r="H24" s="9" t="s">
        <v>121</v>
      </c>
      <c r="I24" s="9" t="s">
        <v>13</v>
      </c>
      <c r="J24" s="9" t="s">
        <v>120</v>
      </c>
      <c r="K24" s="9" t="s">
        <v>122</v>
      </c>
      <c r="L24" s="10" t="s">
        <v>13</v>
      </c>
      <c r="M24" s="10" t="s">
        <v>120</v>
      </c>
      <c r="N24" s="11"/>
    </row>
    <row r="25" spans="1:14" ht="28.8" x14ac:dyDescent="0.3">
      <c r="A25" s="6">
        <v>21</v>
      </c>
      <c r="B25" s="7" t="s">
        <v>123</v>
      </c>
      <c r="C25" s="7" t="s">
        <v>107</v>
      </c>
      <c r="D25" s="7" t="s">
        <v>72</v>
      </c>
      <c r="E25" s="8">
        <v>638</v>
      </c>
      <c r="F25" s="8">
        <v>6808</v>
      </c>
      <c r="G25" s="8">
        <v>28</v>
      </c>
      <c r="H25" s="9" t="s">
        <v>124</v>
      </c>
      <c r="I25" s="9" t="s">
        <v>13</v>
      </c>
      <c r="J25" s="9" t="s">
        <v>123</v>
      </c>
      <c r="K25" s="9" t="s">
        <v>125</v>
      </c>
      <c r="L25" s="10" t="s">
        <v>13</v>
      </c>
      <c r="M25" s="10" t="s">
        <v>123</v>
      </c>
      <c r="N25" s="11"/>
    </row>
    <row r="26" spans="1:14" ht="28.8" x14ac:dyDescent="0.3">
      <c r="A26" s="6">
        <v>22</v>
      </c>
      <c r="B26" s="7" t="s">
        <v>126</v>
      </c>
      <c r="C26" s="7" t="s">
        <v>95</v>
      </c>
      <c r="D26" s="7" t="s">
        <v>50</v>
      </c>
      <c r="E26" s="8">
        <v>7196</v>
      </c>
      <c r="F26" s="8">
        <v>250</v>
      </c>
      <c r="G26" s="8">
        <v>9</v>
      </c>
      <c r="H26" s="9" t="s">
        <v>127</v>
      </c>
      <c r="I26" s="9" t="s">
        <v>13</v>
      </c>
      <c r="J26" s="9" t="s">
        <v>126</v>
      </c>
      <c r="K26" s="9" t="s">
        <v>128</v>
      </c>
      <c r="L26" s="10" t="s">
        <v>13</v>
      </c>
      <c r="M26" s="10" t="s">
        <v>126</v>
      </c>
      <c r="N26" s="11"/>
    </row>
    <row r="27" spans="1:14" ht="28.8" x14ac:dyDescent="0.3">
      <c r="A27" s="6">
        <v>23</v>
      </c>
      <c r="B27" s="7" t="s">
        <v>129</v>
      </c>
      <c r="C27" s="7" t="s">
        <v>130</v>
      </c>
      <c r="D27" s="7" t="s">
        <v>50</v>
      </c>
      <c r="E27" s="8">
        <v>6608</v>
      </c>
      <c r="F27" s="8">
        <v>838</v>
      </c>
      <c r="G27" s="8">
        <v>108</v>
      </c>
      <c r="H27" s="9" t="s">
        <v>131</v>
      </c>
      <c r="I27" s="9" t="s">
        <v>17</v>
      </c>
      <c r="J27" s="9"/>
      <c r="K27" s="9" t="s">
        <v>132</v>
      </c>
      <c r="L27" s="10" t="s">
        <v>17</v>
      </c>
      <c r="M27" s="10"/>
      <c r="N27" s="11"/>
    </row>
    <row r="28" spans="1:14" ht="28.8" x14ac:dyDescent="0.3">
      <c r="A28" s="6">
        <v>24</v>
      </c>
      <c r="B28" s="7" t="s">
        <v>133</v>
      </c>
      <c r="C28" s="7" t="s">
        <v>134</v>
      </c>
      <c r="D28" s="7" t="s">
        <v>50</v>
      </c>
      <c r="E28" s="8">
        <v>6608</v>
      </c>
      <c r="F28" s="8">
        <v>838</v>
      </c>
      <c r="G28" s="8">
        <v>100</v>
      </c>
      <c r="H28" s="9" t="s">
        <v>135</v>
      </c>
      <c r="I28" s="9" t="s">
        <v>13</v>
      </c>
      <c r="J28" s="9" t="s">
        <v>129</v>
      </c>
      <c r="K28" s="9" t="s">
        <v>136</v>
      </c>
      <c r="L28" s="10" t="s">
        <v>13</v>
      </c>
      <c r="M28" s="10" t="s">
        <v>129</v>
      </c>
      <c r="N28" s="11"/>
    </row>
    <row r="29" spans="1:14" x14ac:dyDescent="0.3">
      <c r="A29" s="6">
        <v>25</v>
      </c>
      <c r="B29" s="7" t="s">
        <v>137</v>
      </c>
      <c r="C29" s="7" t="s">
        <v>138</v>
      </c>
      <c r="D29" s="7" t="s">
        <v>72</v>
      </c>
      <c r="E29" s="8">
        <v>4826</v>
      </c>
      <c r="F29" s="8">
        <v>2620</v>
      </c>
      <c r="G29" s="8">
        <v>26</v>
      </c>
      <c r="H29" s="9" t="s">
        <v>139</v>
      </c>
      <c r="I29" s="9" t="s">
        <v>13</v>
      </c>
      <c r="J29" s="9" t="s">
        <v>137</v>
      </c>
      <c r="K29" s="9" t="s">
        <v>140</v>
      </c>
      <c r="L29" s="10" t="s">
        <v>13</v>
      </c>
      <c r="M29" s="10" t="s">
        <v>137</v>
      </c>
      <c r="N29" s="11"/>
    </row>
    <row r="30" spans="1:14" ht="28.8" x14ac:dyDescent="0.3">
      <c r="A30" s="6">
        <v>26</v>
      </c>
      <c r="B30" s="7" t="s">
        <v>141</v>
      </c>
      <c r="C30" s="7" t="s">
        <v>91</v>
      </c>
      <c r="D30" s="7" t="s">
        <v>50</v>
      </c>
      <c r="E30" s="8">
        <v>1474</v>
      </c>
      <c r="F30" s="8">
        <v>5972</v>
      </c>
      <c r="G30" s="8">
        <v>170</v>
      </c>
      <c r="H30" s="9" t="s">
        <v>142</v>
      </c>
      <c r="I30" s="9" t="s">
        <v>17</v>
      </c>
      <c r="J30" s="9"/>
      <c r="K30" s="9" t="s">
        <v>143</v>
      </c>
      <c r="L30" s="10" t="s">
        <v>17</v>
      </c>
      <c r="M30" s="10"/>
      <c r="N30" s="11"/>
    </row>
    <row r="31" spans="1:14" ht="28.8" x14ac:dyDescent="0.3">
      <c r="A31" s="6">
        <v>27</v>
      </c>
      <c r="B31" s="7" t="s">
        <v>144</v>
      </c>
      <c r="C31" s="7" t="s">
        <v>95</v>
      </c>
      <c r="D31" s="7" t="s">
        <v>50</v>
      </c>
      <c r="E31" s="8">
        <v>1474</v>
      </c>
      <c r="F31" s="8">
        <v>5972</v>
      </c>
      <c r="G31" s="8">
        <v>135</v>
      </c>
      <c r="H31" s="9" t="s">
        <v>145</v>
      </c>
      <c r="I31" s="9" t="s">
        <v>13</v>
      </c>
      <c r="J31" s="9" t="s">
        <v>141</v>
      </c>
      <c r="K31" s="9" t="s">
        <v>146</v>
      </c>
      <c r="L31" s="10" t="s">
        <v>13</v>
      </c>
      <c r="M31" s="10" t="s">
        <v>141</v>
      </c>
      <c r="N31" s="11"/>
    </row>
    <row r="32" spans="1:14" ht="28.8" x14ac:dyDescent="0.3">
      <c r="A32" s="6">
        <v>28</v>
      </c>
      <c r="B32" s="7" t="s">
        <v>147</v>
      </c>
      <c r="C32" s="7" t="s">
        <v>107</v>
      </c>
      <c r="D32" s="7" t="s">
        <v>50</v>
      </c>
      <c r="E32" s="8">
        <v>5418</v>
      </c>
      <c r="F32" s="8">
        <v>2028</v>
      </c>
      <c r="G32" s="8">
        <v>3</v>
      </c>
      <c r="H32" s="9" t="s">
        <v>148</v>
      </c>
      <c r="I32" s="9" t="s">
        <v>13</v>
      </c>
      <c r="J32" s="9" t="s">
        <v>147</v>
      </c>
      <c r="K32" s="9" t="s">
        <v>149</v>
      </c>
      <c r="L32" s="10" t="s">
        <v>13</v>
      </c>
      <c r="M32" s="10" t="s">
        <v>147</v>
      </c>
      <c r="N32" s="11"/>
    </row>
    <row r="33" spans="1:14" x14ac:dyDescent="0.3">
      <c r="A33" s="6">
        <v>29</v>
      </c>
      <c r="B33" s="7" t="s">
        <v>150</v>
      </c>
      <c r="C33" s="7" t="s">
        <v>91</v>
      </c>
      <c r="D33" s="7" t="s">
        <v>50</v>
      </c>
      <c r="E33" s="8">
        <v>5367</v>
      </c>
      <c r="F33" s="8">
        <v>2079</v>
      </c>
      <c r="G33" s="8">
        <v>22</v>
      </c>
      <c r="H33" s="9" t="s">
        <v>151</v>
      </c>
      <c r="I33" s="9" t="s">
        <v>17</v>
      </c>
      <c r="J33" s="9"/>
      <c r="K33" s="9" t="s">
        <v>152</v>
      </c>
      <c r="L33" s="10" t="s">
        <v>17</v>
      </c>
      <c r="M33" s="10"/>
      <c r="N33" s="11"/>
    </row>
    <row r="34" spans="1:14" x14ac:dyDescent="0.3">
      <c r="A34" s="6">
        <v>30</v>
      </c>
      <c r="B34" s="7" t="s">
        <v>153</v>
      </c>
      <c r="C34" s="7" t="s">
        <v>95</v>
      </c>
      <c r="D34" s="7" t="s">
        <v>50</v>
      </c>
      <c r="E34" s="8">
        <v>5341</v>
      </c>
      <c r="F34" s="8">
        <v>2105</v>
      </c>
      <c r="G34" s="8">
        <v>7</v>
      </c>
      <c r="H34" s="9" t="s">
        <v>154</v>
      </c>
      <c r="I34" s="9" t="s">
        <v>13</v>
      </c>
      <c r="J34" s="9" t="s">
        <v>155</v>
      </c>
      <c r="K34" s="9" t="s">
        <v>156</v>
      </c>
      <c r="L34" s="10" t="s">
        <v>13</v>
      </c>
      <c r="M34" s="10" t="s">
        <v>155</v>
      </c>
      <c r="N34" s="11"/>
    </row>
    <row r="35" spans="1:14" x14ac:dyDescent="0.3">
      <c r="A35" s="6">
        <v>31</v>
      </c>
      <c r="B35" s="7" t="s">
        <v>157</v>
      </c>
      <c r="C35" s="7" t="s">
        <v>80</v>
      </c>
      <c r="D35" s="7" t="s">
        <v>50</v>
      </c>
      <c r="E35" s="8">
        <v>442</v>
      </c>
      <c r="F35" s="8">
        <v>7004</v>
      </c>
      <c r="G35" s="8">
        <v>1</v>
      </c>
      <c r="H35" s="9" t="s">
        <v>158</v>
      </c>
      <c r="I35" s="9" t="s">
        <v>13</v>
      </c>
      <c r="J35" s="9" t="s">
        <v>157</v>
      </c>
      <c r="K35" s="9" t="s">
        <v>159</v>
      </c>
      <c r="L35" s="10" t="s">
        <v>13</v>
      </c>
      <c r="M35" s="10" t="s">
        <v>157</v>
      </c>
      <c r="N35" s="11"/>
    </row>
    <row r="36" spans="1:14" x14ac:dyDescent="0.3">
      <c r="A36" s="6">
        <v>32</v>
      </c>
      <c r="B36" s="7" t="s">
        <v>160</v>
      </c>
      <c r="C36" s="7" t="s">
        <v>161</v>
      </c>
      <c r="D36" s="7" t="s">
        <v>162</v>
      </c>
      <c r="E36" s="8">
        <v>6878</v>
      </c>
      <c r="F36" s="8">
        <v>568</v>
      </c>
      <c r="G36" s="8">
        <v>2</v>
      </c>
      <c r="H36" s="9" t="s">
        <v>163</v>
      </c>
      <c r="I36" s="9" t="s">
        <v>13</v>
      </c>
      <c r="J36" s="9" t="s">
        <v>160</v>
      </c>
      <c r="K36" s="9" t="s">
        <v>164</v>
      </c>
      <c r="L36" s="10" t="s">
        <v>13</v>
      </c>
      <c r="M36" s="10" t="s">
        <v>160</v>
      </c>
      <c r="N36" s="11"/>
    </row>
    <row r="37" spans="1:14" ht="28.8" x14ac:dyDescent="0.3">
      <c r="A37" s="6">
        <v>33</v>
      </c>
      <c r="B37" s="7" t="s">
        <v>165</v>
      </c>
      <c r="C37" s="7" t="s">
        <v>166</v>
      </c>
      <c r="D37" s="7" t="s">
        <v>50</v>
      </c>
      <c r="E37" s="8">
        <v>53</v>
      </c>
      <c r="F37" s="8">
        <v>7393</v>
      </c>
      <c r="G37" s="8">
        <v>30</v>
      </c>
      <c r="H37" s="9" t="s">
        <v>167</v>
      </c>
      <c r="I37" s="9" t="s">
        <v>17</v>
      </c>
      <c r="J37" s="9"/>
      <c r="K37" s="9" t="s">
        <v>168</v>
      </c>
      <c r="L37" s="10" t="s">
        <v>17</v>
      </c>
      <c r="M37" s="10"/>
      <c r="N37" s="11"/>
    </row>
    <row r="38" spans="1:14" x14ac:dyDescent="0.3">
      <c r="A38" s="6">
        <v>34</v>
      </c>
      <c r="B38" s="7" t="s">
        <v>169</v>
      </c>
      <c r="C38" s="7" t="s">
        <v>95</v>
      </c>
      <c r="D38" s="7" t="s">
        <v>50</v>
      </c>
      <c r="E38" s="8">
        <v>53</v>
      </c>
      <c r="F38" s="8">
        <v>7393</v>
      </c>
      <c r="G38" s="8">
        <v>25</v>
      </c>
      <c r="H38" s="9" t="s">
        <v>170</v>
      </c>
      <c r="I38" s="9" t="s">
        <v>13</v>
      </c>
      <c r="J38" s="9" t="s">
        <v>165</v>
      </c>
      <c r="K38" s="9" t="s">
        <v>171</v>
      </c>
      <c r="L38" s="10" t="s">
        <v>13</v>
      </c>
      <c r="M38" s="10" t="s">
        <v>165</v>
      </c>
      <c r="N38" s="11"/>
    </row>
    <row r="39" spans="1:14" ht="28.8" x14ac:dyDescent="0.3">
      <c r="A39" s="6">
        <v>35</v>
      </c>
      <c r="B39" s="7" t="s">
        <v>172</v>
      </c>
      <c r="C39" s="7" t="s">
        <v>87</v>
      </c>
      <c r="D39" s="7" t="s">
        <v>50</v>
      </c>
      <c r="E39" s="8">
        <v>604</v>
      </c>
      <c r="F39" s="8">
        <v>6842</v>
      </c>
      <c r="G39" s="8">
        <v>295</v>
      </c>
      <c r="H39" s="9" t="s">
        <v>173</v>
      </c>
      <c r="I39" s="9" t="s">
        <v>17</v>
      </c>
      <c r="J39" s="9"/>
      <c r="K39" s="9" t="s">
        <v>174</v>
      </c>
      <c r="L39" s="10" t="s">
        <v>17</v>
      </c>
      <c r="M39" s="10"/>
      <c r="N39" s="11"/>
    </row>
    <row r="40" spans="1:14" x14ac:dyDescent="0.3">
      <c r="A40" s="6">
        <v>36</v>
      </c>
      <c r="B40" s="7" t="s">
        <v>175</v>
      </c>
      <c r="C40" s="7" t="s">
        <v>176</v>
      </c>
      <c r="D40" s="7" t="s">
        <v>50</v>
      </c>
      <c r="E40" s="8">
        <v>7445</v>
      </c>
      <c r="F40" s="8">
        <v>1</v>
      </c>
      <c r="G40" s="8">
        <v>7414</v>
      </c>
      <c r="H40" s="9" t="s">
        <v>177</v>
      </c>
      <c r="I40" s="9" t="s">
        <v>17</v>
      </c>
      <c r="J40" s="9"/>
      <c r="K40" s="9" t="s">
        <v>178</v>
      </c>
      <c r="L40" s="10" t="s">
        <v>13</v>
      </c>
      <c r="M40" s="10" t="s">
        <v>219</v>
      </c>
      <c r="N40" s="11"/>
    </row>
    <row r="41" spans="1:14" x14ac:dyDescent="0.3">
      <c r="A41" s="6">
        <v>37</v>
      </c>
      <c r="B41" s="7" t="s">
        <v>179</v>
      </c>
      <c r="C41" s="7" t="s">
        <v>103</v>
      </c>
      <c r="D41" s="7" t="s">
        <v>50</v>
      </c>
      <c r="E41" s="8">
        <v>7355</v>
      </c>
      <c r="F41" s="8">
        <v>91</v>
      </c>
      <c r="G41" s="8">
        <v>714</v>
      </c>
      <c r="H41" s="9" t="s">
        <v>180</v>
      </c>
      <c r="I41" s="9" t="s">
        <v>13</v>
      </c>
      <c r="J41" s="9" t="s">
        <v>179</v>
      </c>
      <c r="K41" s="9" t="s">
        <v>181</v>
      </c>
      <c r="L41" s="10" t="s">
        <v>17</v>
      </c>
      <c r="M41" s="10" t="s">
        <v>179</v>
      </c>
      <c r="N41" s="11"/>
    </row>
    <row r="42" spans="1:14" x14ac:dyDescent="0.3">
      <c r="A42" s="6">
        <v>38</v>
      </c>
      <c r="B42" s="7" t="s">
        <v>182</v>
      </c>
      <c r="C42" s="7" t="s">
        <v>103</v>
      </c>
      <c r="D42" s="7" t="s">
        <v>50</v>
      </c>
      <c r="E42" s="8">
        <v>4839</v>
      </c>
      <c r="F42" s="8">
        <v>2607</v>
      </c>
      <c r="G42" s="8">
        <v>584</v>
      </c>
      <c r="H42" s="9" t="s">
        <v>183</v>
      </c>
      <c r="I42" s="9" t="s">
        <v>13</v>
      </c>
      <c r="J42" s="9" t="s">
        <v>182</v>
      </c>
      <c r="K42" s="9" t="s">
        <v>184</v>
      </c>
      <c r="L42" s="10" t="s">
        <v>17</v>
      </c>
      <c r="M42" s="10" t="s">
        <v>182</v>
      </c>
      <c r="N42" s="11"/>
    </row>
    <row r="43" spans="1:14" x14ac:dyDescent="0.3">
      <c r="A43" s="6">
        <v>39</v>
      </c>
      <c r="B43" s="7" t="s">
        <v>185</v>
      </c>
      <c r="C43" s="7" t="s">
        <v>103</v>
      </c>
      <c r="D43" s="7" t="s">
        <v>50</v>
      </c>
      <c r="E43" s="8">
        <v>7437</v>
      </c>
      <c r="F43" s="8">
        <v>9</v>
      </c>
      <c r="G43" s="8">
        <v>4236</v>
      </c>
      <c r="H43" s="9" t="s">
        <v>186</v>
      </c>
      <c r="I43" s="9" t="s">
        <v>13</v>
      </c>
      <c r="J43" s="9" t="s">
        <v>185</v>
      </c>
      <c r="K43" s="9" t="s">
        <v>187</v>
      </c>
      <c r="L43" s="10" t="s">
        <v>17</v>
      </c>
      <c r="M43" s="10" t="s">
        <v>185</v>
      </c>
      <c r="N43" s="11"/>
    </row>
    <row r="44" spans="1:14" x14ac:dyDescent="0.3">
      <c r="A44" s="6">
        <v>40</v>
      </c>
      <c r="B44" s="7" t="s">
        <v>188</v>
      </c>
      <c r="C44" s="7" t="s">
        <v>111</v>
      </c>
      <c r="D44" s="7" t="s">
        <v>50</v>
      </c>
      <c r="E44" s="8">
        <v>7355</v>
      </c>
      <c r="F44" s="8">
        <v>91</v>
      </c>
      <c r="G44" s="8">
        <v>2</v>
      </c>
      <c r="H44" s="9" t="s">
        <v>189</v>
      </c>
      <c r="I44" s="9" t="s">
        <v>17</v>
      </c>
      <c r="J44" s="9"/>
      <c r="K44" s="9" t="s">
        <v>190</v>
      </c>
      <c r="L44" s="10" t="s">
        <v>17</v>
      </c>
      <c r="M44" s="10"/>
      <c r="N44" s="11"/>
    </row>
    <row r="45" spans="1:14" x14ac:dyDescent="0.3">
      <c r="A45" s="6">
        <v>41</v>
      </c>
      <c r="B45" s="7" t="s">
        <v>191</v>
      </c>
      <c r="C45" s="7" t="s">
        <v>111</v>
      </c>
      <c r="D45" s="7" t="s">
        <v>50</v>
      </c>
      <c r="E45" s="8">
        <v>4839</v>
      </c>
      <c r="F45" s="8">
        <v>2607</v>
      </c>
      <c r="G45" s="8">
        <v>2</v>
      </c>
      <c r="H45" s="9" t="s">
        <v>192</v>
      </c>
      <c r="I45" s="9" t="s">
        <v>17</v>
      </c>
      <c r="J45" s="9"/>
      <c r="K45" s="9" t="s">
        <v>190</v>
      </c>
      <c r="L45" s="10" t="s">
        <v>17</v>
      </c>
      <c r="M45" s="10"/>
      <c r="N45" s="11"/>
    </row>
    <row r="46" spans="1:14" x14ac:dyDescent="0.3">
      <c r="A46" s="6">
        <v>42</v>
      </c>
      <c r="B46" s="7" t="s">
        <v>193</v>
      </c>
      <c r="C46" s="7" t="s">
        <v>111</v>
      </c>
      <c r="D46" s="7" t="s">
        <v>50</v>
      </c>
      <c r="E46" s="8">
        <v>7437</v>
      </c>
      <c r="F46" s="8">
        <v>9</v>
      </c>
      <c r="G46" s="8">
        <v>2</v>
      </c>
      <c r="H46" s="9" t="s">
        <v>194</v>
      </c>
      <c r="I46" s="9" t="s">
        <v>17</v>
      </c>
      <c r="J46" s="9"/>
      <c r="K46" s="9" t="s">
        <v>190</v>
      </c>
      <c r="L46" s="10" t="s">
        <v>17</v>
      </c>
      <c r="M46" s="10"/>
      <c r="N46" s="11"/>
    </row>
    <row r="47" spans="1:14" ht="28.8" x14ac:dyDescent="0.3">
      <c r="A47" s="6">
        <v>43</v>
      </c>
      <c r="B47" s="7" t="s">
        <v>195</v>
      </c>
      <c r="C47" s="7" t="s">
        <v>196</v>
      </c>
      <c r="D47" s="7" t="s">
        <v>50</v>
      </c>
      <c r="E47" s="8">
        <v>7446</v>
      </c>
      <c r="F47" s="8">
        <v>0</v>
      </c>
      <c r="G47" s="8">
        <v>1</v>
      </c>
      <c r="H47" s="9" t="s">
        <v>197</v>
      </c>
      <c r="I47" s="9" t="s">
        <v>15</v>
      </c>
      <c r="J47" s="9"/>
      <c r="K47" s="9" t="s">
        <v>198</v>
      </c>
      <c r="L47" s="10" t="s">
        <v>15</v>
      </c>
      <c r="M47" s="10"/>
      <c r="N47" s="11"/>
    </row>
    <row r="48" spans="1:14" ht="28.8" x14ac:dyDescent="0.3">
      <c r="A48" s="6">
        <v>44</v>
      </c>
      <c r="B48" s="7" t="s">
        <v>199</v>
      </c>
      <c r="C48" s="7" t="s">
        <v>196</v>
      </c>
      <c r="D48" s="7" t="s">
        <v>50</v>
      </c>
      <c r="E48" s="8">
        <v>7446</v>
      </c>
      <c r="F48" s="8">
        <v>0</v>
      </c>
      <c r="G48" s="8">
        <v>1</v>
      </c>
      <c r="H48" s="9" t="s">
        <v>200</v>
      </c>
      <c r="I48" s="9" t="s">
        <v>15</v>
      </c>
      <c r="J48" s="9"/>
      <c r="K48" s="9" t="s">
        <v>201</v>
      </c>
      <c r="L48" s="10" t="s">
        <v>15</v>
      </c>
      <c r="M48" s="10"/>
      <c r="N48" s="11"/>
    </row>
    <row r="49" spans="1:14" ht="43.2" x14ac:dyDescent="0.3">
      <c r="A49" s="6">
        <v>45</v>
      </c>
      <c r="B49" s="7" t="s">
        <v>202</v>
      </c>
      <c r="C49" s="7" t="s">
        <v>196</v>
      </c>
      <c r="D49" s="7" t="s">
        <v>50</v>
      </c>
      <c r="E49" s="8">
        <v>7446</v>
      </c>
      <c r="F49" s="8">
        <v>0</v>
      </c>
      <c r="G49" s="8">
        <v>25</v>
      </c>
      <c r="H49" s="9" t="s">
        <v>203</v>
      </c>
      <c r="I49" s="9" t="s">
        <v>17</v>
      </c>
      <c r="J49" s="9"/>
      <c r="K49" s="9" t="s">
        <v>204</v>
      </c>
      <c r="L49" s="10" t="s">
        <v>17</v>
      </c>
      <c r="M49" s="10"/>
      <c r="N49" s="11"/>
    </row>
    <row r="50" spans="1:14" ht="28.8" x14ac:dyDescent="0.3">
      <c r="A50" s="6">
        <v>46</v>
      </c>
      <c r="B50" s="7" t="s">
        <v>205</v>
      </c>
      <c r="C50" s="7" t="s">
        <v>196</v>
      </c>
      <c r="D50" s="7" t="s">
        <v>50</v>
      </c>
      <c r="E50" s="8">
        <v>7443</v>
      </c>
      <c r="F50" s="8">
        <v>3</v>
      </c>
      <c r="G50" s="8">
        <v>6</v>
      </c>
      <c r="H50" s="9" t="s">
        <v>206</v>
      </c>
      <c r="I50" s="9" t="s">
        <v>17</v>
      </c>
      <c r="J50" s="9"/>
      <c r="K50" s="9" t="s">
        <v>207</v>
      </c>
      <c r="L50" s="10" t="s">
        <v>17</v>
      </c>
      <c r="M50" s="10"/>
      <c r="N50" s="11"/>
    </row>
    <row r="51" spans="1:14" ht="28.8" x14ac:dyDescent="0.3">
      <c r="A51" s="6">
        <v>47</v>
      </c>
      <c r="B51" s="7" t="s">
        <v>208</v>
      </c>
      <c r="C51" s="7" t="s">
        <v>196</v>
      </c>
      <c r="D51" s="7" t="s">
        <v>50</v>
      </c>
      <c r="E51" s="8">
        <v>7446</v>
      </c>
      <c r="F51" s="8">
        <v>0</v>
      </c>
      <c r="G51" s="8">
        <v>6</v>
      </c>
      <c r="H51" s="9" t="s">
        <v>209</v>
      </c>
      <c r="I51" s="9" t="s">
        <v>17</v>
      </c>
      <c r="J51" s="9"/>
      <c r="K51" s="9" t="s">
        <v>210</v>
      </c>
      <c r="L51" s="10" t="s">
        <v>17</v>
      </c>
      <c r="M51" s="10"/>
      <c r="N51" s="11"/>
    </row>
    <row r="52" spans="1:14" ht="72" x14ac:dyDescent="0.3">
      <c r="A52" s="6">
        <v>48</v>
      </c>
      <c r="B52" s="7" t="s">
        <v>211</v>
      </c>
      <c r="C52" s="7" t="s">
        <v>196</v>
      </c>
      <c r="D52" s="7" t="s">
        <v>50</v>
      </c>
      <c r="E52" s="8">
        <v>301</v>
      </c>
      <c r="F52" s="8">
        <v>7145</v>
      </c>
      <c r="G52" s="8">
        <v>40</v>
      </c>
      <c r="H52" s="9" t="s">
        <v>212</v>
      </c>
      <c r="I52" s="9" t="s">
        <v>17</v>
      </c>
      <c r="J52" s="9"/>
      <c r="K52" s="9" t="s">
        <v>213</v>
      </c>
      <c r="L52" s="10" t="s">
        <v>17</v>
      </c>
      <c r="M52" s="10"/>
      <c r="N52" s="11"/>
    </row>
    <row r="53" spans="1:14" ht="28.8" x14ac:dyDescent="0.3">
      <c r="A53" s="6">
        <v>49</v>
      </c>
      <c r="B53" s="7" t="s">
        <v>214</v>
      </c>
      <c r="C53" s="7" t="s">
        <v>215</v>
      </c>
      <c r="D53" s="7" t="s">
        <v>50</v>
      </c>
      <c r="E53" s="8">
        <v>0</v>
      </c>
      <c r="F53" s="8">
        <v>7446</v>
      </c>
      <c r="G53" s="8">
        <v>0</v>
      </c>
      <c r="H53" s="9"/>
      <c r="I53" s="9" t="s">
        <v>15</v>
      </c>
      <c r="J53" s="9"/>
      <c r="K53" s="9" t="s">
        <v>216</v>
      </c>
      <c r="L53" s="10" t="s">
        <v>15</v>
      </c>
      <c r="M53" s="10"/>
      <c r="N53" s="11"/>
    </row>
    <row r="54" spans="1:14" ht="28.8" x14ac:dyDescent="0.3">
      <c r="A54" s="12">
        <v>50</v>
      </c>
      <c r="B54" s="13" t="s">
        <v>217</v>
      </c>
      <c r="C54" s="13" t="s">
        <v>215</v>
      </c>
      <c r="D54" s="13" t="s">
        <v>50</v>
      </c>
      <c r="E54" s="14">
        <v>0</v>
      </c>
      <c r="F54" s="14">
        <v>7446</v>
      </c>
      <c r="G54" s="14">
        <v>0</v>
      </c>
      <c r="H54" s="15"/>
      <c r="I54" s="15" t="s">
        <v>15</v>
      </c>
      <c r="J54" s="15"/>
      <c r="K54" s="15" t="s">
        <v>216</v>
      </c>
      <c r="L54" s="10" t="s">
        <v>15</v>
      </c>
      <c r="M54" s="16"/>
      <c r="N54" s="17"/>
    </row>
  </sheetData>
  <mergeCells count="2">
    <mergeCell ref="A1:N1"/>
    <mergeCell ref="A2:N2"/>
  </mergeCells>
  <conditionalFormatting sqref="I5:I54">
    <cfRule type="containsText" dxfId="6" priority="5" operator="containsText" text="Include"/>
    <cfRule type="containsText" dxfId="5" priority="6" operator="containsText" text="Exclude"/>
    <cfRule type="containsText" dxfId="4" priority="7" operator="containsText" text="Canonical only"/>
  </conditionalFormatting>
  <conditionalFormatting sqref="L5:L54">
    <cfRule type="containsText" dxfId="3" priority="1" operator="containsText" text="Pending"/>
    <cfRule type="containsText" dxfId="2" priority="2" operator="containsText" text="Include"/>
    <cfRule type="containsText" dxfId="1" priority="3" operator="containsText" text="Exclude"/>
    <cfRule type="containsText" dxfId="0" priority="4" operator="containsText" text="Canonical only"/>
  </conditionalFormatting>
  <dataValidations count="1">
    <dataValidation type="list" sqref="L5:L54" xr:uid="{00000000-0002-0000-0200-000000000000}">
      <formula1>"Pending,Include,Exclude,Canonical only,Modify"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Summary</vt:lpstr>
      <vt:lpstr>Column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Anikeev</cp:lastModifiedBy>
  <dcterms:modified xsi:type="dcterms:W3CDTF">2026-08-02T05:37:34Z</dcterms:modified>
</cp:coreProperties>
</file>